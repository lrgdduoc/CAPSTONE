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1/"/>
    </mc:Choice>
  </mc:AlternateContent>
  <xr:revisionPtr revIDLastSave="0" documentId="13_ncr:1_{8AEBF72D-38CC-0A41-8D27-D4D990417033}" xr6:coauthVersionLast="47" xr6:coauthVersionMax="47" xr10:uidLastSave="{00000000-0000-0000-0000-000000000000}"/>
  <bookViews>
    <workbookView xWindow="0" yWindow="760" windowWidth="28760" windowHeight="173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<sst xmlns="http://schemas.openxmlformats.org/spreadsheetml/2006/main" count="150" uniqueCount="91">
  <si>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</si>
  <si>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</si>
  <si>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</si>
  <si>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</si>
  <si>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</si>
  <si>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</si>
  <si>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</si>
  <si>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</si>
  <si>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</si>
  <si>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</si>
  <si>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</si>
  <si>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</si>
  <si>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</si>
  <si>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</si>
  <si>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</si>
  <si>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</si>
  <si>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</si>
  <si>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</si>
  <si>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</si>
  <si>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</si>
  <si>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</si>
  <si>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</si>
  <si>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</si>
  <si>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</si>
  <si>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</si>
  <si>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</si>
  <si>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</si>
  <si>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</si>
  <si>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</si>
  <si>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</si>
  <si>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</si>
  <si>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</si>
  <si>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</si>
  <si>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</si>
  <si>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</si>
  <si>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</si>
  <si>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</si>
  <si>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</si>
  <si>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</si>
  <si>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</si>
  <si>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</si>
  <si>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</si>
  <si>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</si>
  <si>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</si>
  <si>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</si>
  <si>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</si>
  <si>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</si>
  <si>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</si>
  <si>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</si>
  <si>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</si>
  <si>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</si>
  <si>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</si>
  <si>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</si>
  <si>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</si>
  <si>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</si>
  <si>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</si>
  <si>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</si>
  <si>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</si>
  <si>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</si>
  <si>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</si>
  <si>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</si>
  <si>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</si>
  <si>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</si>
  <si>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</si>
  <si>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</si>
  <si>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</si>
  <si>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</si>
  <si>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</si>
  <si>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</si>
  <si>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</si>
  <si>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</si>
  <si>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</si>
  <si>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</si>
  <si>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</si>
  <si>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</si>
  <si>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</si>
  <si>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Luis Gonzalez</t>
  </si>
  <si>
    <t>Ignacio Ramos</t>
  </si>
  <si>
    <t>Sebastian Tapia</t>
  </si>
  <si>
    <t>PPT</t>
  </si>
  <si>
    <t>APP</t>
  </si>
  <si>
    <t>Falta subir el código</t>
  </si>
  <si>
    <t>No la subieron</t>
  </si>
  <si>
    <t>Metodología: Usuarios, Duración de sprint  y Actividades?</t>
  </si>
  <si>
    <t>Arq.: Numeros y SOA?</t>
  </si>
  <si>
    <t>Tecnologías: Sacar algunos servicios de AWS</t>
  </si>
  <si>
    <t>Los gastos son persona o gracias</t>
  </si>
  <si>
    <t>Club Unimarc? Problemas de carga</t>
  </si>
  <si>
    <t>Los archivos de grupo son sin los nombres de integrantes</t>
  </si>
  <si>
    <t>Cargar una buena boleta</t>
  </si>
  <si>
    <t>Invitar por Whatapps (Sugerencia)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</si>
</sst>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74084</xdr:colOff>
      <xdr:row>58</xdr:row>
      <xdr:rowOff>42332</xdr:rowOff>
    </xdr:from>
    <xdr:to>
      <xdr:col>12</xdr:col>
      <xdr:colOff>298451</xdr:colOff>
      <xdr:row>71</xdr:row>
      <xdr:rowOff>92476</xdr:rowOff>
    </xdr:to>
    <xdr:pic>
      <xdr:nvPicPr>
        <xdr:cNvPr id="2" name="Imagen 1">
          <a:extLst>
            <a:ext uri="{FF2B5EF4-FFF2-40B4-BE49-F238E27FC236}">
              <a16:creationId xmlns:a16="http://schemas.microsoft.com/office/drawing/2014/main" id="{D44501D1-D99B-5232-BFF1-210272034C85}"/>
            </a:ext>
          </a:extLst>
        </xdr:cNvPr>
        <xdr:cNvPicPr>
          <a:picLocks noChangeAspect="1"/>
        </xdr:cNvPicPr>
      </xdr:nvPicPr>
      <xdr:blipFill>
        <a:blip xmlns:r="http://schemas.openxmlformats.org/officeDocument/2006/relationships" r:embed="rId1"/>
        <a:stretch>
          <a:fillRect/>
        </a:stretch>
      </xdr:blipFill>
      <xdr:spPr>
        <a:xfrm>
          <a:off x="8519584" y="12625915"/>
          <a:ext cx="6648450" cy="252664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29" sqref="C2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5.6</v>
      </c>
      <c r="D4" s="5">
        <f>$C$32</f>
        <v>7</v>
      </c>
      <c r="E4" s="6">
        <f>C4*C$2+D4*D$2</f>
        <v>5.9499999999999993</v>
      </c>
      <c r="G4" s="1"/>
    </row>
    <row r="5" spans="1:11" ht="16" x14ac:dyDescent="0.2">
      <c r="A5" s="4">
        <v>2</v>
      </c>
      <c r="B5" s="50" t="s">
        <v>77</v>
      </c>
      <c r="C5" s="5">
        <f>EVALUACION1!$C$21</f>
        <v>5.6</v>
      </c>
      <c r="D5" s="5">
        <f>C44</f>
        <v>7</v>
      </c>
      <c r="E5" s="6">
        <f t="shared" ref="E5:E6" si="0">C5*C$2+D5*D$2</f>
        <v>5.9499999999999993</v>
      </c>
      <c r="G5" s="1"/>
    </row>
    <row r="6" spans="1:11" ht="16" x14ac:dyDescent="0.2">
      <c r="A6" s="4">
        <v>3</v>
      </c>
      <c r="B6" s="50" t="s">
        <v>78</v>
      </c>
      <c r="C6" s="5">
        <f>EVALUACION1!$C$21</f>
        <v>5.6</v>
      </c>
      <c r="D6" s="5">
        <f>C55</f>
        <v>7</v>
      </c>
      <c r="E6" s="6">
        <f t="shared" si="0"/>
        <v>5.9499999999999993</v>
      </c>
      <c r="G6" s="1"/>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6</v>
      </c>
      <c r="D18" s="17" t="str">
        <f>IF($C18=CL,"X","")</f>
        <v/>
      </c>
      <c r="E18" s="17" t="str">
        <f>IF(D18="X",100*0.15,"")</f>
        <v/>
      </c>
      <c r="F18" s="17" t="str">
        <f>IF($C18=L,"X","")</f>
        <v>X</v>
      </c>
      <c r="G18" s="17">
        <f>IF(F18="X",60*0.15,"")</f>
        <v>9</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25">
      <c r="A20" s="68"/>
      <c r="B20" s="29" t="s">
        <v>4</v>
      </c>
      <c r="C20" s="33">
        <f>E20+G20+I20+K20</f>
        <v>61</v>
      </c>
      <c r="D20" s="20"/>
      <c r="E20" s="20">
        <f>SUM(E13:E19)</f>
        <v>40</v>
      </c>
      <c r="F20" s="20"/>
      <c r="G20" s="20">
        <f>SUM(G13:G19)</f>
        <v>21</v>
      </c>
      <c r="H20" s="20"/>
      <c r="I20" s="20">
        <f>SUM(I13:I19)</f>
        <v>0</v>
      </c>
      <c r="J20" s="20"/>
      <c r="K20" s="20">
        <f>SUM(K13:K19)</f>
        <v>0</v>
      </c>
    </row>
    <row r="21" spans="1:11" ht="15.75" customHeight="1" outlineLevel="1" x14ac:dyDescent="0.25">
      <c r="A21" s="55"/>
      <c r="B21" s="32" t="s">
        <v>13</v>
      </c>
      <c r="C21" s="21">
        <f>VLOOKUP(C20,ESCALA_IEP!A1:B152,2,FALSE)</f>
        <v>5.6</v>
      </c>
    </row>
    <row r="22" spans="1:11" ht="15.75" customHeight="1" x14ac:dyDescent="0.2"/>
    <row r="23" spans="1:11" ht="15.75" customHeight="1" x14ac:dyDescent="0.2"/>
    <row r="24" spans="1:11" ht="15.75" customHeight="1" x14ac:dyDescent="0.2">
      <c r="A24" s="67" t="s">
        <v>15</v>
      </c>
      <c r="B24" s="54" t="s">
        <v>16</v>
      </c>
      <c r="C24" s="56" t="str">
        <f>$B$4</f>
        <v>Luis Gonzalez</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8"/>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5"/>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Ignacio Ramos</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8"/>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8"/>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5"/>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Sebastian Tapia</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8"/>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8"/>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5"/>
      <c r="B55" s="18" t="s">
        <v>13</v>
      </c>
      <c r="C55" s="21">
        <f>VLOOKUP(C54,ESCALA_TRAB_EQUIP!A1:B52,2,FALSE)</f>
        <v>7</v>
      </c>
    </row>
    <row r="56" spans="1:11" ht="15.75" customHeight="1" x14ac:dyDescent="0.25">
      <c r="B56" s="23"/>
      <c r="C56" s="24"/>
    </row>
    <row r="57" spans="1:11" ht="15.75" customHeight="1" x14ac:dyDescent="0.2"/>
    <row r="58" spans="1:11" ht="15.75" customHeight="1" x14ac:dyDescent="0.2">
      <c r="B58" s="51" t="s">
        <v>79</v>
      </c>
    </row>
    <row r="59" spans="1:11" ht="15.75" customHeight="1" x14ac:dyDescent="0.2">
      <c r="B59" s="51" t="s">
        <v>82</v>
      </c>
    </row>
    <row r="60" spans="1:11" ht="15.75" customHeight="1" x14ac:dyDescent="0.2">
      <c r="B60" s="51" t="s">
        <v>83</v>
      </c>
    </row>
    <row r="61" spans="1:11" ht="15.75" customHeight="1" x14ac:dyDescent="0.2"/>
    <row r="62" spans="1:11" ht="15.75" customHeight="1" x14ac:dyDescent="0.2">
      <c r="B62" s="51" t="s">
        <v>84</v>
      </c>
    </row>
    <row r="63" spans="1:11" ht="15.75" customHeight="1" x14ac:dyDescent="0.2">
      <c r="B63" s="51" t="s">
        <v>85</v>
      </c>
    </row>
    <row r="64" spans="1:11" ht="15.75" customHeight="1" x14ac:dyDescent="0.2"/>
    <row r="65" spans="2:5" ht="15.75" customHeight="1" x14ac:dyDescent="0.2"/>
    <row r="66" spans="2:5" ht="15.75" customHeight="1" x14ac:dyDescent="0.2"/>
    <row r="67" spans="2:5" ht="15.75" customHeight="1" x14ac:dyDescent="0.2"/>
    <row r="68" spans="2:5" ht="15.75" customHeight="1" x14ac:dyDescent="0.2"/>
    <row r="69" spans="2:5" ht="15.75" customHeight="1" x14ac:dyDescent="0.2">
      <c r="B69" s="51" t="s">
        <v>80</v>
      </c>
    </row>
    <row r="70" spans="2:5" ht="15.75" customHeight="1" x14ac:dyDescent="0.2">
      <c r="B70" s="51" t="s">
        <v>81</v>
      </c>
    </row>
    <row r="71" spans="2:5" ht="15.75" customHeight="1" x14ac:dyDescent="0.2">
      <c r="B71" s="51" t="s">
        <v>89</v>
      </c>
    </row>
    <row r="72" spans="2:5" ht="15.75" customHeight="1" x14ac:dyDescent="0.2">
      <c r="B72" s="51" t="s">
        <v>90</v>
      </c>
    </row>
    <row r="73" spans="2:5" ht="15.75" customHeight="1" x14ac:dyDescent="0.2">
      <c r="B73" s="51" t="s">
        <v>87</v>
      </c>
    </row>
    <row r="74" spans="2:5" ht="15.75" customHeight="1" x14ac:dyDescent="0.2">
      <c r="B74" s="51" t="s">
        <v>86</v>
      </c>
      <c r="E74" s="51" t="s">
        <v>88</v>
      </c>
    </row>
    <row r="75" spans="2:5" ht="15.75" customHeight="1" x14ac:dyDescent="0.2"/>
    <row r="76" spans="2:5" ht="15.75" customHeight="1" x14ac:dyDescent="0.2"/>
    <row r="77" spans="2:5" ht="15.75" customHeight="1" x14ac:dyDescent="0.2"/>
    <row r="78" spans="2:5" ht="15.75" customHeight="1" x14ac:dyDescent="0.2"/>
    <row r="79" spans="2:5" ht="15.75" customHeight="1" x14ac:dyDescent="0.2"/>
    <row r="80" spans="2: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2025-11-28T03:10:36Z</dcterms:modified>
</cp:coreProperties>
</file>
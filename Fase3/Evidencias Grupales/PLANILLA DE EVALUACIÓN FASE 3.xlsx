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5-2-Sección 1/Grupo 1/"/>
    </mc:Choice>
  </mc:AlternateContent>
  <xr:revisionPtr revIDLastSave="0" documentId="13_ncr:1_{BD5F35F6-F7A9-F74A-986E-13B7DC7875C4}" xr6:coauthVersionLast="47" xr6:coauthVersionMax="47" xr10:uidLastSave="{00000000-0000-0000-0000-000000000000}"/>
  <bookViews>
    <workbookView xWindow="0" yWindow="760" windowWidth="30720" windowHeight="1740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/>
  <c r="H84" i="1"/>
  <c r="I84" i="1"/>
  <c r="F84" i="1"/>
  <c r="G84" i="1"/>
  <c r="D84" i="1"/>
  <c r="E84" i="1"/>
  <c r="J83" i="1"/>
  <c r="K83" i="1"/>
  <c r="H83" i="1"/>
  <c r="I83" i="1"/>
  <c r="F83" i="1"/>
  <c r="G83" i="1"/>
  <c r="D83" i="1"/>
  <c r="E83" i="1"/>
  <c r="J82" i="1"/>
  <c r="K82" i="1"/>
  <c r="H82" i="1"/>
  <c r="I82" i="1"/>
  <c r="F82" i="1"/>
  <c r="G82" i="1"/>
  <c r="D82" i="1"/>
  <c r="E82" i="1"/>
  <c r="J81" i="1"/>
  <c r="K81" i="1"/>
  <c r="H81" i="1"/>
  <c r="I81" i="1"/>
  <c r="F81" i="1"/>
  <c r="G81" i="1"/>
  <c r="D81" i="1"/>
  <c r="E81" i="1"/>
  <c r="J80" i="1"/>
  <c r="K80" i="1"/>
  <c r="H80" i="1"/>
  <c r="I80" i="1"/>
  <c r="G80" i="1"/>
  <c r="F80" i="1"/>
  <c r="D80" i="1"/>
  <c r="E80" i="1"/>
  <c r="J79" i="1"/>
  <c r="K79" i="1"/>
  <c r="H79" i="1"/>
  <c r="I79" i="1"/>
  <c r="F79" i="1"/>
  <c r="G79" i="1"/>
  <c r="D79" i="1"/>
  <c r="E79" i="1"/>
  <c r="J78" i="1"/>
  <c r="K78" i="1"/>
  <c r="I78" i="1"/>
  <c r="H78" i="1"/>
  <c r="F78" i="1"/>
  <c r="G78" i="1"/>
  <c r="D78" i="1"/>
  <c r="E78" i="1"/>
  <c r="J71" i="1"/>
  <c r="K71" i="1"/>
  <c r="H71" i="1"/>
  <c r="I71" i="1"/>
  <c r="F71" i="1"/>
  <c r="G71" i="1"/>
  <c r="D71" i="1"/>
  <c r="E71" i="1"/>
  <c r="J70" i="1"/>
  <c r="K70" i="1"/>
  <c r="H70" i="1"/>
  <c r="I70" i="1"/>
  <c r="F70" i="1"/>
  <c r="G70" i="1"/>
  <c r="D70" i="1"/>
  <c r="E70" i="1"/>
  <c r="J69" i="1"/>
  <c r="K69" i="1"/>
  <c r="I69" i="1"/>
  <c r="H69" i="1"/>
  <c r="F69" i="1"/>
  <c r="G69" i="1"/>
  <c r="D69" i="1"/>
  <c r="E69" i="1"/>
  <c r="J68" i="1"/>
  <c r="K68" i="1"/>
  <c r="H68" i="1"/>
  <c r="I68" i="1"/>
  <c r="F68" i="1"/>
  <c r="G68" i="1"/>
  <c r="D68" i="1"/>
  <c r="E68" i="1"/>
  <c r="K67" i="1"/>
  <c r="J67" i="1"/>
  <c r="H67" i="1"/>
  <c r="I67" i="1"/>
  <c r="F67" i="1"/>
  <c r="G67" i="1"/>
  <c r="D67" i="1"/>
  <c r="E67" i="1"/>
  <c r="J66" i="1"/>
  <c r="K66" i="1"/>
  <c r="H66" i="1"/>
  <c r="I66" i="1"/>
  <c r="F66" i="1"/>
  <c r="G66" i="1"/>
  <c r="D66" i="1"/>
  <c r="E66" i="1"/>
  <c r="J65" i="1"/>
  <c r="K65" i="1"/>
  <c r="H65" i="1"/>
  <c r="I65" i="1"/>
  <c r="F65" i="1"/>
  <c r="G65" i="1"/>
  <c r="D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/>
  <c r="I58" i="1"/>
  <c r="H58" i="1"/>
  <c r="F58" i="1"/>
  <c r="G58" i="1"/>
  <c r="D58" i="1"/>
  <c r="E58" i="1"/>
  <c r="J57" i="1"/>
  <c r="K57" i="1"/>
  <c r="H57" i="1"/>
  <c r="I57" i="1"/>
  <c r="F57" i="1"/>
  <c r="G57" i="1"/>
  <c r="D57" i="1"/>
  <c r="E57" i="1"/>
  <c r="J56" i="1"/>
  <c r="K56" i="1"/>
  <c r="H56" i="1"/>
  <c r="I56" i="1"/>
  <c r="F56" i="1"/>
  <c r="G56" i="1"/>
  <c r="E56" i="1"/>
  <c r="D56" i="1"/>
  <c r="J55" i="1"/>
  <c r="K55" i="1"/>
  <c r="H55" i="1"/>
  <c r="I55" i="1"/>
  <c r="F55" i="1"/>
  <c r="G55" i="1"/>
  <c r="D55" i="1"/>
  <c r="E55" i="1"/>
  <c r="J54" i="1"/>
  <c r="K54" i="1"/>
  <c r="H54" i="1"/>
  <c r="I54" i="1"/>
  <c r="G54" i="1"/>
  <c r="F54" i="1"/>
  <c r="E54" i="1"/>
  <c r="D54" i="1"/>
  <c r="J53" i="1"/>
  <c r="K53" i="1"/>
  <c r="H53" i="1"/>
  <c r="I53" i="1"/>
  <c r="F53" i="1"/>
  <c r="G53" i="1"/>
  <c r="D53" i="1"/>
  <c r="E53" i="1"/>
  <c r="J52" i="1"/>
  <c r="K52" i="1"/>
  <c r="I52" i="1"/>
  <c r="H52" i="1"/>
  <c r="G52" i="1"/>
  <c r="F52" i="1"/>
  <c r="D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/>
  <c r="H45" i="1"/>
  <c r="I45" i="1"/>
  <c r="F45" i="1"/>
  <c r="G45" i="1"/>
  <c r="D45" i="1"/>
  <c r="E45" i="1"/>
  <c r="K44" i="1"/>
  <c r="J44" i="1"/>
  <c r="I44" i="1"/>
  <c r="H44" i="1"/>
  <c r="F44" i="1"/>
  <c r="G44" i="1"/>
  <c r="D44" i="1"/>
  <c r="E44" i="1"/>
  <c r="J43" i="1"/>
  <c r="K43" i="1"/>
  <c r="H43" i="1"/>
  <c r="I43" i="1"/>
  <c r="F43" i="1"/>
  <c r="G43" i="1"/>
  <c r="D43" i="1"/>
  <c r="E43" i="1"/>
  <c r="J42" i="1"/>
  <c r="K42" i="1"/>
  <c r="H42" i="1"/>
  <c r="I42" i="1"/>
  <c r="F42" i="1"/>
  <c r="G42" i="1"/>
  <c r="D42" i="1"/>
  <c r="E42" i="1"/>
  <c r="J41" i="1"/>
  <c r="K41" i="1"/>
  <c r="H41" i="1"/>
  <c r="I41" i="1"/>
  <c r="F41" i="1"/>
  <c r="G41" i="1"/>
  <c r="D41" i="1"/>
  <c r="E41" i="1"/>
  <c r="J40" i="1"/>
  <c r="K40" i="1" s="1"/>
  <c r="K46" i="1" s="1"/>
  <c r="H40" i="1"/>
  <c r="I40" i="1" s="1"/>
  <c r="I46" i="1" s="1"/>
  <c r="F40" i="1"/>
  <c r="G40" i="1" s="1"/>
  <c r="G46" i="1" s="1"/>
  <c r="D40" i="1"/>
  <c r="E40" i="1" s="1"/>
  <c r="E46" i="1" s="1"/>
  <c r="J39" i="1"/>
  <c r="K39" i="1"/>
  <c r="H39" i="1"/>
  <c r="I39" i="1"/>
  <c r="F39" i="1"/>
  <c r="G39" i="1"/>
  <c r="D39" i="1"/>
  <c r="E39" i="1"/>
  <c r="J32" i="1"/>
  <c r="K32" i="1"/>
  <c r="H32" i="1"/>
  <c r="I32" i="1"/>
  <c r="F32" i="1"/>
  <c r="G32" i="1"/>
  <c r="D32" i="1"/>
  <c r="E32" i="1"/>
  <c r="J31" i="1"/>
  <c r="K31" i="1"/>
  <c r="H31" i="1"/>
  <c r="I31" i="1"/>
  <c r="F31" i="1"/>
  <c r="G31" i="1"/>
  <c r="D31" i="1"/>
  <c r="E31" i="1"/>
  <c r="J30" i="1"/>
  <c r="K30" i="1"/>
  <c r="H30" i="1"/>
  <c r="I30" i="1"/>
  <c r="F30" i="1"/>
  <c r="G30" i="1"/>
  <c r="D30" i="1"/>
  <c r="E30" i="1"/>
  <c r="J29" i="1"/>
  <c r="K29" i="1"/>
  <c r="H29" i="1"/>
  <c r="I29" i="1"/>
  <c r="F29" i="1"/>
  <c r="G29" i="1"/>
  <c r="D29" i="1"/>
  <c r="E29" i="1"/>
  <c r="J28" i="1"/>
  <c r="K28" i="1"/>
  <c r="H28" i="1"/>
  <c r="I28" i="1"/>
  <c r="F28" i="1"/>
  <c r="G28" i="1"/>
  <c r="D28" i="1"/>
  <c r="E28" i="1"/>
  <c r="J27" i="1"/>
  <c r="K27" i="1" s="1"/>
  <c r="K33" i="1" s="1"/>
  <c r="H27" i="1"/>
  <c r="I27" i="1" s="1"/>
  <c r="I33" i="1" s="1"/>
  <c r="F27" i="1"/>
  <c r="G27" i="1" s="1"/>
  <c r="G33" i="1" s="1"/>
  <c r="D27" i="1"/>
  <c r="E27" i="1" s="1"/>
  <c r="E33" i="1" s="1"/>
  <c r="J26" i="1"/>
  <c r="K26" i="1"/>
  <c r="H26" i="1"/>
  <c r="I26" i="1"/>
  <c r="F26" i="1"/>
  <c r="G26" i="1"/>
  <c r="D26" i="1"/>
  <c r="E26" i="1"/>
  <c r="E72" i="1"/>
  <c r="K85" i="1"/>
  <c r="E85" i="1"/>
  <c r="I85" i="1"/>
  <c r="G85" i="1"/>
  <c r="G72" i="1"/>
  <c r="I72" i="1"/>
  <c r="K72" i="1"/>
  <c r="E59" i="1"/>
  <c r="K59" i="1"/>
  <c r="G59" i="1"/>
  <c r="I59" i="1"/>
  <c r="C72" i="1"/>
  <c r="C73" i="1"/>
  <c r="C59" i="1"/>
  <c r="C60" i="1"/>
  <c r="C85" i="1"/>
  <c r="C86" i="1"/>
  <c r="D6" i="1"/>
  <c r="B14" i="1"/>
  <c r="B15" i="1"/>
  <c r="B16" i="1"/>
  <c r="B17" i="1"/>
  <c r="B18" i="1"/>
  <c r="B19" i="1"/>
  <c r="D13" i="1"/>
  <c r="E13" i="1"/>
  <c r="D14" i="1"/>
  <c r="E14" i="1" s="1"/>
  <c r="E20" i="1" s="1"/>
  <c r="D15" i="1"/>
  <c r="E15" i="1"/>
  <c r="D16" i="1"/>
  <c r="E16" i="1"/>
  <c r="D17" i="1"/>
  <c r="E17" i="1"/>
  <c r="D18" i="1"/>
  <c r="E18" i="1"/>
  <c r="D19" i="1"/>
  <c r="E19" i="1"/>
  <c r="F17" i="1"/>
  <c r="G17" i="1"/>
  <c r="H17" i="1"/>
  <c r="I17" i="1"/>
  <c r="J17" i="1"/>
  <c r="K17" i="1"/>
  <c r="J19" i="1"/>
  <c r="K19" i="1"/>
  <c r="H19" i="1"/>
  <c r="I19" i="1"/>
  <c r="F19" i="1"/>
  <c r="G19" i="1"/>
  <c r="J18" i="1"/>
  <c r="K18" i="1"/>
  <c r="H18" i="1"/>
  <c r="I18" i="1"/>
  <c r="F18" i="1"/>
  <c r="G18" i="1"/>
  <c r="J16" i="1"/>
  <c r="K16" i="1"/>
  <c r="H16" i="1"/>
  <c r="I16" i="1"/>
  <c r="F16" i="1"/>
  <c r="G16" i="1"/>
  <c r="J15" i="1"/>
  <c r="K15" i="1"/>
  <c r="H15" i="1"/>
  <c r="I15" i="1"/>
  <c r="F15" i="1"/>
  <c r="G15" i="1"/>
  <c r="J14" i="1"/>
  <c r="K14" i="1" s="1"/>
  <c r="K20" i="1" s="1"/>
  <c r="H14" i="1"/>
  <c r="I14" i="1" s="1"/>
  <c r="I20" i="1" s="1"/>
  <c r="F14" i="1"/>
  <c r="G14" i="1" s="1"/>
  <c r="G20" i="1" s="1"/>
  <c r="J13" i="1"/>
  <c r="K13" i="1"/>
  <c r="H13" i="1"/>
  <c r="I13" i="1"/>
  <c r="F13" i="1"/>
  <c r="G13" i="1"/>
  <c r="C46" i="1" l="1"/>
  <c r="C47" i="1" s="1"/>
  <c r="C6" i="1" s="1"/>
  <c r="E6" i="1" s="1"/>
  <c r="C33" i="1"/>
  <c r="C34" i="1" s="1"/>
  <c r="C5" i="1" s="1"/>
  <c r="E5" i="1" s="1"/>
  <c r="C20" i="1"/>
  <c r="C21" i="1" s="1"/>
  <c r="C4" i="1" s="1"/>
  <c r="E4" i="1" s="1"/>
</calcChain>
</file>

<file path=xl/sharedStrings.xml><?xml version="1.0" encoding="utf-8"?>
<sst xmlns="http://schemas.openxmlformats.org/spreadsheetml/2006/main" count="168" uniqueCount="70">
  <si>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</si>
  <si>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</si>
  <si>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</si>
  <si>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</si>
  <si>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</si>
  <si>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</si>
  <si>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</si>
  <si>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</si>
  <si>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</si>
  <si>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</si>
  <si>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</si>
  <si>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</si>
  <si>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</si>
  <si>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</si>
  <si>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</si>
  <si>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</si>
  <si>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</si>
  <si>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</si>
  <si>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</si>
  <si>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</si>
  <si>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</si>
  <si>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</si>
  <si>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</si>
  <si>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</si>
  <si>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</si>
  <si>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</si>
  <si>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</si>
  <si>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</si>
  <si>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</si>
  <si>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</si>
  <si>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</si>
  <si>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</si>
  <si>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</si>
  <si>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</si>
  <si>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</si>
  <si>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</si>
  <si>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</si>
  <si>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</si>
  <si>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</si>
  <si>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</si>
  <si>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</si>
  <si>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</si>
  <si>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</si>
  <si>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</si>
  <si>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</si>
  <si>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</si>
  <si>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</si>
  <si>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</si>
  <si>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</si>
  <si>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</si>
  <si>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</si>
  <si>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</si>
  <si>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</si>
  <si>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</si>
  <si>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</si>
  <si>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</si>
  <si>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</si>
  <si>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</si>
  <si>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</si>
  <si>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</si>
  <si>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</si>
  <si>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</si>
  <si>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</si>
  <si>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Luis Gonzalez</t>
  </si>
  <si>
    <t>Ignacio Ramos</t>
  </si>
  <si>
    <t>Sebastian Tapia</t>
  </si>
  <si>
    <t>Comentarios</t>
  </si>
  <si>
    <t>Obstaculos</t>
  </si>
  <si>
    <t>Las preguntas no estuvieron bien enfocadas</t>
  </si>
  <si>
    <t>Nota 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</si>
</sst>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 applyAlignment="1">
      <alignment wrapText="1" readingOrder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C40" sqref="C40"/>
    </sheetView>
  </sheetViews>
  <sheetFormatPr baseColWidth="10" defaultColWidth="14.5" defaultRowHeight="15" customHeight="1" outlineLevelRow="1" x14ac:dyDescent="0.2"/>
  <cols>
    <col min="1" max="1" width="10.66406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ht="17" x14ac:dyDescent="0.2">
      <c r="A4" s="3">
        <v>1</v>
      </c>
      <c r="B4" s="38" t="s">
        <v>63</v>
      </c>
      <c r="C4" s="30">
        <f>C21</f>
        <v>6.3</v>
      </c>
      <c r="D4" s="36">
        <f>C60</f>
        <v>7</v>
      </c>
      <c r="E4" s="35">
        <f>C4*C$2+D4*D$2</f>
        <v>6.51</v>
      </c>
    </row>
    <row r="5" spans="1:11" ht="17" x14ac:dyDescent="0.2">
      <c r="A5" s="3">
        <v>2</v>
      </c>
      <c r="B5" s="38" t="s">
        <v>64</v>
      </c>
      <c r="C5" s="30">
        <f>C34</f>
        <v>6.3</v>
      </c>
      <c r="D5" s="36">
        <f>C73</f>
        <v>7</v>
      </c>
      <c r="E5" s="35">
        <f t="shared" ref="E5:E6" si="0">C5*C$2+D5*D$2</f>
        <v>6.51</v>
      </c>
    </row>
    <row r="6" spans="1:11" ht="17" x14ac:dyDescent="0.2">
      <c r="A6" s="3">
        <v>3</v>
      </c>
      <c r="B6" s="38" t="s">
        <v>65</v>
      </c>
      <c r="C6" s="30">
        <f>C47</f>
        <v>6.3</v>
      </c>
      <c r="D6" s="36">
        <f>C86</f>
        <v>7</v>
      </c>
      <c r="E6" s="35">
        <f t="shared" si="0"/>
        <v>6.51</v>
      </c>
    </row>
    <row r="11" spans="1:11" ht="19" outlineLevel="1" x14ac:dyDescent="0.2">
      <c r="A11" s="39" t="s">
        <v>4</v>
      </c>
      <c r="B11" s="11" t="str">
        <f>B4</f>
        <v>Luis Gonzalez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6" outlineLevel="1" x14ac:dyDescent="0.2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9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40"/>
      <c r="B20" s="17" t="s">
        <v>12</v>
      </c>
      <c r="C20" s="21">
        <f>E20+G20+I20+K20</f>
        <v>90</v>
      </c>
      <c r="D20" s="13"/>
      <c r="E20" s="13">
        <f>SUM(E13:E19)</f>
        <v>75</v>
      </c>
      <c r="F20" s="13"/>
      <c r="G20" s="13">
        <f>SUM(G13:G19)</f>
        <v>15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2"/>
      <c r="B21" s="20" t="s">
        <v>13</v>
      </c>
      <c r="C21" s="14">
        <f>VLOOKUP(C20,ESCALA_IEP!A2:B202,2,FALSE)</f>
        <v>6.3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39" t="s">
        <v>4</v>
      </c>
      <c r="B24" s="11" t="str">
        <f>B5</f>
        <v>Ignacio Ramos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9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40"/>
      <c r="B33" s="17" t="s">
        <v>12</v>
      </c>
      <c r="C33" s="21">
        <f>E33+G33+I33+K33</f>
        <v>90</v>
      </c>
      <c r="D33" s="13"/>
      <c r="E33" s="13">
        <f>SUM(E26:E32)</f>
        <v>75</v>
      </c>
      <c r="F33" s="13"/>
      <c r="G33" s="13">
        <f>SUM(G26:G32)</f>
        <v>15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2"/>
      <c r="B34" s="20" t="s">
        <v>13</v>
      </c>
      <c r="C34" s="14">
        <f>VLOOKUP(C33,ESCALA_IEP!A15:B215,2,FALSE)</f>
        <v>6.3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39" t="s">
        <v>4</v>
      </c>
      <c r="B37" s="11" t="str">
        <f>B6</f>
        <v>Sebastian Tapia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9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40"/>
      <c r="B46" s="17" t="s">
        <v>12</v>
      </c>
      <c r="C46" s="21">
        <f>E46+G46+I46+K46</f>
        <v>90</v>
      </c>
      <c r="D46" s="13"/>
      <c r="E46" s="13">
        <f>SUM(E39:E45)</f>
        <v>75</v>
      </c>
      <c r="F46" s="13"/>
      <c r="G46" s="13">
        <f>SUM(G39:G45)</f>
        <v>15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2"/>
      <c r="B47" s="20" t="s">
        <v>13</v>
      </c>
      <c r="C47" s="14">
        <f>VLOOKUP(C46,ESCALA_IEP!A28:B228,2,FALSE)</f>
        <v>6.3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48" t="s">
        <v>14</v>
      </c>
      <c r="B50" s="11" t="str">
        <f>B4</f>
        <v>Luis Gonzalez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48" t="s">
        <v>15</v>
      </c>
      <c r="B63" s="11" t="str">
        <f>B5</f>
        <v>Ignacio Ramos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48" t="s">
        <v>16</v>
      </c>
      <c r="B76" s="11" t="str">
        <f>B6</f>
        <v>Sebastian Tapia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"/>
    <row r="88" spans="1:11" ht="15.75" customHeight="1" x14ac:dyDescent="0.2"/>
    <row r="89" spans="1:11" ht="15.75" customHeight="1" x14ac:dyDescent="0.2">
      <c r="B89" t="s">
        <v>66</v>
      </c>
    </row>
    <row r="90" spans="1:11" ht="15.75" customHeight="1" x14ac:dyDescent="0.2"/>
    <row r="91" spans="1:11" ht="15.75" customHeight="1" x14ac:dyDescent="0.2">
      <c r="B91" t="s">
        <v>67</v>
      </c>
    </row>
    <row r="92" spans="1:11" ht="15.75" customHeight="1" x14ac:dyDescent="0.2">
      <c r="B92" t="s">
        <v>68</v>
      </c>
    </row>
    <row r="93" spans="1:11" ht="15.75" customHeight="1" x14ac:dyDescent="0.2"/>
    <row r="94" spans="1:11" ht="15.75" customHeight="1" x14ac:dyDescent="0.2">
      <c r="B94" t="s">
        <v>69</v>
      </c>
    </row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5" customWidth="1"/>
    <col min="2" max="2" width="31.33203125" customWidth="1"/>
    <col min="3" max="3" width="24.1640625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ht="16" x14ac:dyDescent="0.2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">
      <c r="A3" s="50"/>
      <c r="B3" s="55"/>
      <c r="C3" s="55"/>
      <c r="D3" s="26">
        <v>0.3</v>
      </c>
      <c r="E3" s="26">
        <v>0</v>
      </c>
      <c r="F3" s="50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75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5" defaultRowHeight="15" customHeight="1" x14ac:dyDescent="0.2"/>
  <cols>
    <col min="1" max="25" width="10.6640625" customWidth="1"/>
  </cols>
  <sheetData>
    <row r="1" spans="1:5" ht="16" x14ac:dyDescent="0.2">
      <c r="A1" s="56" t="s">
        <v>60</v>
      </c>
      <c r="B1" s="4" t="s">
        <v>12</v>
      </c>
      <c r="C1" s="5"/>
      <c r="D1" s="5"/>
      <c r="E1" s="6"/>
    </row>
    <row r="2" spans="1:5" ht="49" thickBot="1" x14ac:dyDescent="0.25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2025-12-10T01:10:56Z</dcterms:modified>
  <cp:category/>
  <cp:contentStatus/>
</cp:coreProperties>
</file>